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88d227540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mit0008 Checklist" sheetId="1" r:id="Rf78a720986d749ce"/>
    <x:sheet xmlns:r="http://schemas.openxmlformats.org/officeDocument/2006/relationships" name="Regression" sheetId="2" r:id="R02ab0fe8600544b5"/>
    <x:sheet xmlns:r="http://schemas.openxmlformats.org/officeDocument/2006/relationships" name="Bug Report" sheetId="3" r:id="Rc018c36ca0db44d3"/>
    <x:sheet xmlns:r="http://schemas.openxmlformats.org/officeDocument/2006/relationships" name="Dashboard" sheetId="4" r:id="R8b45dceff9c1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C6EFCE"/>
        </x:patternFill>
      </x:fill>
    </x:dxf>
    <x:dxf>
      <x:fill>
        <x:patternFill patternType="solid">
          <x:bgColor rgb="FFFFC7CE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ee28d4e1844cd" /><Relationship Type="http://schemas.openxmlformats.org/officeDocument/2006/relationships/theme" Target="/xl/theme/theme1.xml" Id="R2fb9117644f9404f" /><Relationship Type="http://schemas.openxmlformats.org/officeDocument/2006/relationships/sharedStrings" Target="/xl/sharedStrings.xml" Id="R3ee89d0c57f34720" /><Relationship Type="http://schemas.openxmlformats.org/officeDocument/2006/relationships/worksheet" Target="/xl/worksheets/sheet1.xml" Id="Rf78a720986d749ce" /><Relationship Type="http://schemas.openxmlformats.org/officeDocument/2006/relationships/worksheet" Target="/xl/worksheets/sheet2.xml" Id="R02ab0fe8600544b5" /><Relationship Type="http://schemas.openxmlformats.org/officeDocument/2006/relationships/worksheet" Target="/xl/worksheets/sheet3.xml" Id="Rc018c36ca0db44d3" /><Relationship Type="http://schemas.openxmlformats.org/officeDocument/2006/relationships/worksheet" Target="/xl/worksheets/sheet4.xml" Id="R8b45dceff9c1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34" hidden="0" customWidth="1"/>
    <x:col min="4" max="4" width="42" hidden="0" customWidth="1"/>
    <x:col min="5" max="5" width="12" hidden="0" customWidth="1"/>
    <x:col min="6" max="6" width="12" hidden="0" customWidth="1"/>
    <x:col min="7" max="7" width="40" hidden="0" customWidth="1"/>
    <x:col min="8" max="8" width="16" hidden="0" customWidth="1"/>
  </x:cols>
  <x:sheetData>
    <x:row r="1">
      <x:c r="A1" s="10" t="str">
        <x:v>ID</x:v>
      </x:c>
      <x:c r="B1" s="10" t="str">
        <x:v>Category</x:v>
      </x:c>
      <x:c r="C1" s="10" t="str">
        <x:v>Check Item</x:v>
      </x:c>
      <x:c r="D1" s="10" t="str">
        <x:v>Expected Result</x:v>
      </x:c>
      <x:c r="E1" s="10" t="str">
        <x:v>Priority</x:v>
      </x:c>
      <x:c r="F1" s="10" t="str">
        <x:v>Result</x:v>
      </x:c>
      <x:c r="G1" s="10" t="str">
        <x:v>Comments</x:v>
      </x:c>
      <x:c r="H1" s="10" t="str">
        <x:v>Fixed Version</x:v>
      </x:c>
    </x:row>
    <x:row r="2">
      <x:c r="A2" t="str">
        <x:v>C8-001</x:v>
      </x:c>
      <x:c r="B2" t="str">
        <x:v>Startup</x:v>
      </x:c>
      <x:c r="C2" t="str">
        <x:v>START → Viewer first launch</x:v>
      </x:c>
      <x:c r="D2" t="str">
        <x:v>Viewer opens without duplicate error popup</x:v>
      </x:c>
      <x:c r="E2" t="str">
        <x:v>Critical</x:v>
      </x:c>
      <x:c r="F2" t="str">
        <x:v>Pending</x:v>
      </x:c>
      <x:c r="G2" t="str"/>
      <x:c r="H2" t="str"/>
    </x:row>
    <x:row r="3">
      <x:c r="A3" t="str">
        <x:v>C8-002</x:v>
      </x:c>
      <x:c r="B3" t="str">
        <x:v>Startup</x:v>
      </x:c>
      <x:c r="C3" t="str">
        <x:v>MERGE → Viewer first launch</x:v>
      </x:c>
      <x:c r="D3" t="str">
        <x:v>Viewer opens without duplicate error popup</x:v>
      </x:c>
      <x:c r="E3" t="str">
        <x:v>Critical</x:v>
      </x:c>
      <x:c r="F3" t="str">
        <x:v>Pending</x:v>
      </x:c>
      <x:c r="G3" t="str"/>
      <x:c r="H3" t="str"/>
    </x:row>
    <x:row r="4">
      <x:c r="A4" t="str">
        <x:v>C8-003</x:v>
      </x:c>
      <x:c r="B4" t="str">
        <x:v>Startup</x:v>
      </x:c>
      <x:c r="C4" t="str">
        <x:v>Close and reopen Viewer</x:v>
      </x:c>
      <x:c r="D4" t="str">
        <x:v>Viewer reopens without main_splitter error</x:v>
      </x:c>
      <x:c r="E4" t="str">
        <x:v>Critical</x:v>
      </x:c>
      <x:c r="F4" t="str">
        <x:v>Pending</x:v>
      </x:c>
      <x:c r="G4" t="str"/>
      <x:c r="H4" t="str"/>
    </x:row>
    <x:row r="5">
      <x:c r="A5" t="str">
        <x:v>C8-004</x:v>
      </x:c>
      <x:c r="B5" t="str">
        <x:v>Viewer</x:v>
      </x:c>
      <x:c r="C5" t="str">
        <x:v>Show panes 1–4</x:v>
      </x:c>
      <x:c r="D5" t="str">
        <x:v>Visible pane checkboxes correctly control layout</x:v>
      </x:c>
      <x:c r="E5" t="str">
        <x:v>High</x:v>
      </x:c>
      <x:c r="F5" t="str">
        <x:v>Pending</x:v>
      </x:c>
      <x:c r="G5" t="str"/>
      <x:c r="H5" t="str"/>
    </x:row>
    <x:row r="6">
      <x:c r="A6" t="str">
        <x:v>C8-005</x:v>
      </x:c>
      <x:c r="B6" t="str">
        <x:v>Viewer</x:v>
      </x:c>
      <x:c r="C6" t="str">
        <x:v>Timestamp column filter</x:v>
      </x:c>
      <x:c r="D6" t="str">
        <x:v>Header filter limits rows correctly</x:v>
      </x:c>
      <x:c r="E6" t="str">
        <x:v>Critical</x:v>
      </x:c>
      <x:c r="F6" t="str">
        <x:v>Pending</x:v>
      </x:c>
      <x:c r="G6" t="str"/>
      <x:c r="H6" t="str"/>
    </x:row>
    <x:row r="7">
      <x:c r="A7" t="str">
        <x:v>C8-006</x:v>
      </x:c>
      <x:c r="B7" t="str">
        <x:v>Viewer</x:v>
      </x:c>
      <x:c r="C7" t="str">
        <x:v>Level column filter</x:v>
      </x:c>
      <x:c r="D7" t="str">
        <x:v>Level selection limits rows correctly</x:v>
      </x:c>
      <x:c r="E7" t="str">
        <x:v>Critical</x:v>
      </x:c>
      <x:c r="F7" t="str">
        <x:v>Pending</x:v>
      </x:c>
      <x:c r="G7" t="str"/>
      <x:c r="H7" t="str"/>
    </x:row>
    <x:row r="8">
      <x:c r="A8" t="str">
        <x:v>C8-007</x:v>
      </x:c>
      <x:c r="B8" t="str">
        <x:v>Viewer</x:v>
      </x:c>
      <x:c r="C8" t="str">
        <x:v>Category column filter</x:v>
      </x:c>
      <x:c r="D8" t="str">
        <x:v>Category selection limits rows correctly</x:v>
      </x:c>
      <x:c r="E8" t="str">
        <x:v>Critical</x:v>
      </x:c>
      <x:c r="F8" t="str">
        <x:v>Pending</x:v>
      </x:c>
      <x:c r="G8" t="str"/>
      <x:c r="H8" t="str"/>
    </x:row>
    <x:row r="9">
      <x:c r="A9" t="str">
        <x:v>C8-008</x:v>
      </x:c>
      <x:c r="B9" t="str">
        <x:v>Viewer</x:v>
      </x:c>
      <x:c r="C9" t="str">
        <x:v>Message column filter</x:v>
      </x:c>
      <x:c r="D9" t="str">
        <x:v>Contains/Equals/etc. work correctly</x:v>
      </x:c>
      <x:c r="E9" t="str">
        <x:v>Critical</x:v>
      </x:c>
      <x:c r="F9" t="str">
        <x:v>Pending</x:v>
      </x:c>
      <x:c r="G9" t="str"/>
      <x:c r="H9" t="str"/>
    </x:row>
    <x:row r="10">
      <x:c r="A10" t="str">
        <x:v>C8-009</x:v>
      </x:c>
      <x:c r="B10" t="str">
        <x:v>Viewer</x:v>
      </x:c>
      <x:c r="C10" t="str">
        <x:v>Clear one filter</x:v>
      </x:c>
      <x:c r="D10" t="str">
        <x:v>Only the selected column filter is cleared</x:v>
      </x:c>
      <x:c r="E10" t="str">
        <x:v>High</x:v>
      </x:c>
      <x:c r="F10" t="str">
        <x:v>Pending</x:v>
      </x:c>
      <x:c r="G10" t="str"/>
      <x:c r="H10" t="str"/>
    </x:row>
    <x:row r="11">
      <x:c r="A11" t="str">
        <x:v>C8-010</x:v>
      </x:c>
      <x:c r="B11" t="str">
        <x:v>Viewer</x:v>
      </x:c>
      <x:c r="C11" t="str">
        <x:v>Clear all filters</x:v>
      </x:c>
      <x:c r="D11" t="str">
        <x:v>Original pane rows are restored</x:v>
      </x:c>
      <x:c r="E11" t="str">
        <x:v>High</x:v>
      </x:c>
      <x:c r="F11" t="str">
        <x:v>Pending</x:v>
      </x:c>
      <x:c r="G11" t="str"/>
      <x:c r="H11" t="str"/>
    </x:row>
    <x:row r="12">
      <x:c r="A12" t="str">
        <x:v>C8-011</x:v>
      </x:c>
      <x:c r="B12" t="str">
        <x:v>Viewer</x:v>
      </x:c>
      <x:c r="C12" t="str">
        <x:v>Active filter indicator</x:v>
      </x:c>
      <x:c r="D12" t="str">
        <x:v>Filtered header shows ▼</x:v>
      </x:c>
      <x:c r="E12" t="str">
        <x:v>Medium</x:v>
      </x:c>
      <x:c r="F12" t="str">
        <x:v>Pending</x:v>
      </x:c>
      <x:c r="G12" t="str"/>
      <x:c r="H12" t="str"/>
    </x:row>
    <x:row r="13">
      <x:c r="A13" t="str">
        <x:v>C8-012</x:v>
      </x:c>
      <x:c r="B13" t="str">
        <x:v>WS Parser</x:v>
      </x:c>
      <x:c r="C13" t="str">
        <x:v>Entry extraction</x:v>
      </x:c>
      <x:c r="D13" t="str">
        <x:v>Ent/Ext etc. appears in Entry column</x:v>
      </x:c>
      <x:c r="E13" t="str">
        <x:v>Critical</x:v>
      </x:c>
      <x:c r="F13" t="str">
        <x:v>Pending</x:v>
      </x:c>
      <x:c r="G13" t="str"/>
      <x:c r="H13" t="str"/>
    </x:row>
    <x:row r="14">
      <x:c r="A14" t="str">
        <x:v>C8-013</x:v>
      </x:c>
      <x:c r="B14" t="str">
        <x:v>WS Parser</x:v>
      </x:c>
      <x:c r="C14" t="str">
        <x:v>Level extraction</x:v>
      </x:c>
      <x:c r="D14" t="str">
        <x:v>Dbg/Err/Inf/Wrn appears in Level column</x:v>
      </x:c>
      <x:c r="E14" t="str">
        <x:v>Critical</x:v>
      </x:c>
      <x:c r="F14" t="str">
        <x:v>Pending</x:v>
      </x:c>
      <x:c r="G14" t="str"/>
      <x:c r="H14" t="str"/>
    </x:row>
    <x:row r="15">
      <x:c r="A15" t="str">
        <x:v>C8-014</x:v>
      </x:c>
      <x:c r="B15" t="str">
        <x:v>WS Parser</x:v>
      </x:c>
      <x:c r="C15" t="str">
        <x:v>Code extraction</x:v>
      </x:c>
      <x:c r="D15" t="str">
        <x:v>Numeric code appears in Code column</x:v>
      </x:c>
      <x:c r="E15" t="str">
        <x:v>Critical</x:v>
      </x:c>
      <x:c r="F15" t="str">
        <x:v>Pending</x:v>
      </x:c>
      <x:c r="G15" t="str"/>
      <x:c r="H15" t="str"/>
    </x:row>
    <x:row r="16">
      <x:c r="A16" t="str">
        <x:v>C8-015</x:v>
      </x:c>
      <x:c r="B16" t="str">
        <x:v>WS Parser</x:v>
      </x:c>
      <x:c r="C16" t="str">
        <x:v>Message extraction</x:v>
      </x:c>
      <x:c r="D16" t="str">
        <x:v>Prefix is removed and only body is shown</x:v>
      </x:c>
      <x:c r="E16" t="str">
        <x:v>Critical</x:v>
      </x:c>
      <x:c r="F16" t="str">
        <x:v>Pending</x:v>
      </x:c>
      <x:c r="G16" t="str"/>
      <x:c r="H16" t="str"/>
    </x:row>
    <x:row r="17">
      <x:c r="A17" t="str">
        <x:v>C8-016</x:v>
      </x:c>
      <x:c r="B17" t="str">
        <x:v>WS Parser</x:v>
      </x:c>
      <x:c r="C17" t="str">
        <x:v>Err-only filter</x:v>
      </x:c>
      <x:c r="D17" t="str">
        <x:v>Level filter can show only Err rows</x:v>
      </x:c>
      <x:c r="E17" t="str">
        <x:v>Critical</x:v>
      </x:c>
      <x:c r="F17" t="str">
        <x:v>Pending</x:v>
      </x:c>
      <x:c r="G17" t="str"/>
      <x:c r="H17" t="str"/>
    </x:row>
    <x:row r="18">
      <x:c r="A18" t="str">
        <x:v>C8-017</x:v>
      </x:c>
      <x:c r="B18" t="str">
        <x:v>Context Menu</x:v>
      </x:c>
      <x:c r="C18" t="str">
        <x:v>Right-click Message cell</x:v>
      </x:c>
      <x:c r="D18" t="str">
        <x:v>Only clicked cell/current row is targeted</x:v>
      </x:c>
      <x:c r="E18" t="str">
        <x:v>Critical</x:v>
      </x:c>
      <x:c r="F18" t="str">
        <x:v>Pending</x:v>
      </x:c>
      <x:c r="G18" t="str"/>
      <x:c r="H18" t="str"/>
    </x:row>
    <x:row r="19">
      <x:c r="A19" t="str">
        <x:v>C8-018</x:v>
      </x:c>
      <x:c r="B19" t="str">
        <x:v>Context Menu</x:v>
      </x:c>
      <x:c r="C19" t="str">
        <x:v>Copy Cell</x:v>
      </x:c>
      <x:c r="D19" t="str">
        <x:v>Clicked cell value is copied</x:v>
      </x:c>
      <x:c r="E19" t="str">
        <x:v>High</x:v>
      </x:c>
      <x:c r="F19" t="str">
        <x:v>Pending</x:v>
      </x:c>
      <x:c r="G19" t="str"/>
      <x:c r="H19" t="str"/>
    </x:row>
    <x:row r="20">
      <x:c r="A20" t="str">
        <x:v>C8-019</x:v>
      </x:c>
      <x:c r="B20" t="str">
        <x:v>Context Menu</x:v>
      </x:c>
      <x:c r="C20" t="str">
        <x:v>Copy Message</x:v>
      </x:c>
      <x:c r="D20" t="str">
        <x:v>Message body only is copied</x:v>
      </x:c>
      <x:c r="E20" t="str">
        <x:v>High</x:v>
      </x:c>
      <x:c r="F20" t="str">
        <x:v>Pending</x:v>
      </x:c>
      <x:c r="G20" t="str"/>
      <x:c r="H20" t="str"/>
    </x:row>
    <x:row r="21">
      <x:c r="A21" t="str">
        <x:v>C8-020</x:v>
      </x:c>
      <x:c r="B21" t="str">
        <x:v>Context Menu</x:v>
      </x:c>
      <x:c r="C21" t="str">
        <x:v>Copy Row</x:v>
      </x:c>
      <x:c r="D21" t="str">
        <x:v>Visible row values are tab-separated and copied</x:v>
      </x:c>
      <x:c r="E21" t="str">
        <x:v>High</x:v>
      </x:c>
      <x:c r="F21" t="str">
        <x:v>Pending</x:v>
      </x:c>
      <x:c r="G21" t="str"/>
      <x:c r="H21" t="str"/>
    </x:row>
    <x:row r="22">
      <x:c r="A22" t="str">
        <x:v>C8-021</x:v>
      </x:c>
      <x:c r="B22" t="str">
        <x:v>Context Menu</x:v>
      </x:c>
      <x:c r="C22" t="str">
        <x:v>Copy Rule Text popup</x:v>
      </x:c>
      <x:c r="D22" t="str">
        <x:v>Text can be edited before copying</x:v>
      </x:c>
      <x:c r="E22" t="str">
        <x:v>Critical</x:v>
      </x:c>
      <x:c r="F22" t="str">
        <x:v>Pending</x:v>
      </x:c>
      <x:c r="G22" t="str"/>
      <x:c r="H22" t="str"/>
    </x:row>
    <x:row r="23">
      <x:c r="A23" t="str">
        <x:v>C8-022</x:v>
      </x:c>
      <x:c r="B23" t="str">
        <x:v>Context Menu</x:v>
      </x:c>
      <x:c r="C23" t="str">
        <x:v>Create Noise Rule</x:v>
      </x:c>
      <x:c r="D23" t="str">
        <x:v>Selected row opens operator approval flow</x:v>
      </x:c>
      <x:c r="E23" t="str">
        <x:v>High</x:v>
      </x:c>
      <x:c r="F23" t="str">
        <x:v>Pending</x:v>
      </x:c>
      <x:c r="G23" t="str"/>
      <x:c r="H23" t="str"/>
    </x:row>
    <x:row r="24">
      <x:c r="A24" t="str">
        <x:v>C8-023</x:v>
      </x:c>
      <x:c r="B24" t="str">
        <x:v>Time Range</x:v>
      </x:c>
      <x:c r="C24" t="str">
        <x:v>Set Viewer Start</x:v>
      </x:c>
      <x:c r="D24" t="str">
        <x:v>Current row timestamp becomes Start</x:v>
      </x:c>
      <x:c r="E24" t="str">
        <x:v>High</x:v>
      </x:c>
      <x:c r="F24" t="str">
        <x:v>Pending</x:v>
      </x:c>
      <x:c r="G24" t="str"/>
      <x:c r="H24" t="str"/>
    </x:row>
    <x:row r="25">
      <x:c r="A25" t="str">
        <x:v>C8-024</x:v>
      </x:c>
      <x:c r="B25" t="str">
        <x:v>Time Range</x:v>
      </x:c>
      <x:c r="C25" t="str">
        <x:v>Set Viewer End</x:v>
      </x:c>
      <x:c r="D25" t="str">
        <x:v>Current row timestamp becomes End</x:v>
      </x:c>
      <x:c r="E25" t="str">
        <x:v>High</x:v>
      </x:c>
      <x:c r="F25" t="str">
        <x:v>Pending</x:v>
      </x:c>
      <x:c r="G25" t="str"/>
      <x:c r="H25" t="str"/>
    </x:row>
    <x:row r="26">
      <x:c r="A26" t="str">
        <x:v>C8-025</x:v>
      </x:c>
      <x:c r="B26" t="str">
        <x:v>Columns</x:v>
      </x:c>
      <x:c r="C26" t="str">
        <x:v>Resize columns</x:v>
      </x:c>
      <x:c r="D26" t="str">
        <x:v>Column widths can be dragged manually</x:v>
      </x:c>
      <x:c r="E26" t="str">
        <x:v>High</x:v>
      </x:c>
      <x:c r="F26" t="str">
        <x:v>Pending</x:v>
      </x:c>
      <x:c r="G26" t="str"/>
      <x:c r="H26" t="str"/>
    </x:row>
    <x:row r="27">
      <x:c r="A27" t="str">
        <x:v>C8-026</x:v>
      </x:c>
      <x:c r="B27" t="str">
        <x:v>Review</x:v>
      </x:c>
      <x:c r="C27" t="str">
        <x:v>Review parameter columns</x:v>
      </x:c>
      <x:c r="D27" t="str">
        <x:v>Review extracted parameters remain visible</x:v>
      </x:c>
      <x:c r="E27" t="str">
        <x:v>High</x:v>
      </x:c>
      <x:c r="F27" t="str">
        <x:v>Pending</x:v>
      </x:c>
      <x:c r="G27" t="str"/>
      <x:c r="H27" t="str"/>
    </x:row>
    <x:row r="28">
      <x:c r="A28" t="str">
        <x:v>C8-027</x:v>
      </x:c>
      <x:c r="B28" t="str">
        <x:v>Noise</x:v>
      </x:c>
      <x:c r="C28" t="str">
        <x:v>Apply rules after selection behavior change</x:v>
      </x:c>
      <x:c r="D28" t="str">
        <x:v>Noise rule still uses current row</x:v>
      </x:c>
      <x:c r="E28" t="str">
        <x:v>Critical</x:v>
      </x:c>
      <x:c r="F28" t="str">
        <x:v>Pending</x:v>
      </x:c>
      <x:c r="G28" t="str"/>
      <x:c r="H28" t="str"/>
    </x:row>
    <x:row r="29">
      <x:c r="A29" t="str">
        <x:v>C8-028</x:v>
      </x:c>
      <x:c r="B29" t="str">
        <x:v>Performance</x:v>
      </x:c>
      <x:c r="C29" t="str">
        <x:v>Filter responsiveness</x:v>
      </x:c>
      <x:c r="D29" t="str">
        <x:v>Filtering does not freeze normal datasets</x:v>
      </x:c>
      <x:c r="E29" t="str">
        <x:v>High</x:v>
      </x:c>
      <x:c r="F29" t="str">
        <x:v>Pending</x:v>
      </x:c>
      <x:c r="G29" t="str"/>
      <x:c r="H29" t="str"/>
    </x:row>
    <x:row r="30">
      <x:c r="A30" t="str">
        <x:v>C8-029</x:v>
      </x:c>
      <x:c r="B30" t="str">
        <x:v>Stability</x:v>
      </x:c>
      <x:c r="C30" t="str">
        <x:v>No crash</x:v>
      </x:c>
      <x:c r="D30" t="str">
        <x:v>No application crash during full test</x:v>
      </x:c>
      <x:c r="E30" t="str">
        <x:v>Critical</x:v>
      </x:c>
      <x:c r="F30" t="str">
        <x:v>Pending</x:v>
      </x:c>
      <x:c r="G30" t="str"/>
      <x:c r="H30" t="str"/>
    </x:row>
    <x:row r="31">
      <x:c r="A31" t="str">
        <x:v>C8-030</x:v>
      </x:c>
      <x:c r="B31" t="str">
        <x:v>Stability</x:v>
      </x:c>
      <x:c r="C31" t="str">
        <x:v>No silent freeze</x:v>
      </x:c>
      <x:c r="D31" t="str">
        <x:v>Long steps show status/progress</x:v>
      </x:c>
      <x:c r="E31" t="str">
        <x:v>Critical</x:v>
      </x:c>
      <x:c r="F31" t="str">
        <x:v>Pending</x:v>
      </x:c>
      <x:c r="G31" t="str"/>
      <x:c r="H31" t="str"/>
    </x:row>
  </x:sheetData>
  <x:conditionalFormatting sqref="F2:F31">
    <x:cfRule type="expression" dxfId="0" priority="1">
      <x:formula>F2="OK"</x:formula>
    </x:cfRule>
    <x:cfRule type="expression" dxfId="1" priority="2">
      <x:formula>F2="NG"</x:formula>
    </x:cfRule>
    <x:cfRule type="expression" dxfId="2" priority="3">
      <x:formula>F2="Pending"</x:formula>
    </x:cfRule>
  </x:conditionalFormatting>
  <x:dataValidations count="2">
    <x:dataValidation type="list" sqref="F2:F31">
      <x:formula1>"Pending,OK,NG,N/A"</x:formula1>
    </x:dataValidation>
    <x:dataValidation type="list" sqref="E2:E31">
      <x:formula1>"Critical,High,Medium,Low"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0" hidden="0" customWidth="1"/>
    <x:col min="4" max="4" width="20" hidden="0" customWidth="1"/>
    <x:col min="5" max="5" width="12" hidden="0" customWidth="1"/>
    <x:col min="6" max="6" width="40" hidden="0" customWidth="1"/>
    <x:col min="7" max="7" width="18" hidden="0" customWidth="1"/>
  </x:cols>
  <x:sheetData>
    <x:row r="1">
      <x:c r="A1" s="3" t="str">
        <x:v>Area</x:v>
      </x:c>
      <x:c r="B1" s="3" t="str">
        <x:v>Regression Item</x:v>
      </x:c>
      <x:c r="C1" s="3" t="str">
        <x:v>Baseline</x:v>
      </x:c>
      <x:c r="D1" s="3" t="str">
        <x:v>Result</x:v>
      </x:c>
      <x:c r="E1" s="3" t="str">
        <x:v>Status</x:v>
      </x:c>
      <x:c r="F1" s="3" t="str">
        <x:v>Comments</x:v>
      </x:c>
      <x:c r="G1" s="3" t="str">
        <x:v>Owner</x:v>
      </x:c>
    </x:row>
    <x:row r="2">
      <x:c r="A2" t="str">
        <x:v>Workflow</x:v>
      </x:c>
      <x:c r="B2" t="str">
        <x:v>START remains Import-only</x:v>
      </x:c>
      <x:c r="C2" t="str">
        <x:v>v41.2 behavior</x:v>
      </x:c>
      <x:c r="D2" t="str"/>
      <x:c r="E2" t="str">
        <x:v>Pending</x:v>
      </x:c>
      <x:c r="F2" t="str"/>
      <x:c r="G2" t="str"/>
    </x:row>
    <x:row r="3">
      <x:c r="A3" t="str">
        <x:v>Workflow</x:v>
      </x:c>
      <x:c r="B3" t="str">
        <x:v>MERGE remains separate</x:v>
      </x:c>
      <x:c r="C3" t="str">
        <x:v>v41.2 behavior</x:v>
      </x:c>
      <x:c r="D3" t="str"/>
      <x:c r="E3" t="str">
        <x:v>Pending</x:v>
      </x:c>
      <x:c r="F3" t="str"/>
      <x:c r="G3" t="str"/>
    </x:row>
    <x:row r="4">
      <x:c r="A4" t="str">
        <x:v>Discovery</x:v>
      </x:c>
      <x:c r="B4" t="str">
        <x:v>Calendar / All / Clear remain available</x:v>
      </x:c>
      <x:c r="C4" t="str">
        <x:v>v41.2 behavior</x:v>
      </x:c>
      <x:c r="D4" t="str"/>
      <x:c r="E4" t="str">
        <x:v>Pending</x:v>
      </x:c>
      <x:c r="F4" t="str"/>
      <x:c r="G4" t="str"/>
    </x:row>
    <x:row r="5">
      <x:c r="A5" t="str">
        <x:v>Viewer</x:v>
      </x:c>
      <x:c r="B5" t="str">
        <x:v>Loaded log types only in dropdown</x:v>
      </x:c>
      <x:c r="C5" t="str">
        <x:v>v41.2 behavior</x:v>
      </x:c>
      <x:c r="D5" t="str"/>
      <x:c r="E5" t="str">
        <x:v>Pending</x:v>
      </x:c>
      <x:c r="F5" t="str"/>
      <x:c r="G5" t="str"/>
    </x:row>
    <x:row r="6">
      <x:c r="A6" t="str">
        <x:v>Viewer</x:v>
      </x:c>
      <x:c r="B6" t="str">
        <x:v>Show 1–4 remains functional</x:v>
      </x:c>
      <x:c r="C6" t="str">
        <x:v>v41.2 behavior</x:v>
      </x:c>
      <x:c r="D6" t="str"/>
      <x:c r="E6" t="str">
        <x:v>Pending</x:v>
      </x:c>
      <x:c r="F6" t="str"/>
      <x:c r="G6" t="str"/>
    </x:row>
    <x:row r="7">
      <x:c r="A7" t="str">
        <x:v>Viewer</x:v>
      </x:c>
      <x:c r="B7" t="str">
        <x:v>Viewer Time Range remains functional</x:v>
      </x:c>
      <x:c r="C7" t="str">
        <x:v>v41.2 behavior</x:v>
      </x:c>
      <x:c r="D7" t="str"/>
      <x:c r="E7" t="str">
        <x:v>Pending</x:v>
      </x:c>
      <x:c r="F7" t="str"/>
      <x:c r="G7" t="str"/>
    </x:row>
    <x:row r="8">
      <x:c r="A8" t="str">
        <x:v>Viewer</x:v>
      </x:c>
      <x:c r="B8" t="str">
        <x:v>Review parameter layout remains functional</x:v>
      </x:c>
      <x:c r="C8" t="str">
        <x:v>v41.2 behavior</x:v>
      </x:c>
      <x:c r="D8" t="str"/>
      <x:c r="E8" t="str">
        <x:v>Pending</x:v>
      </x:c>
      <x:c r="F8" t="str"/>
      <x:c r="G8" t="str"/>
    </x:row>
    <x:row r="9">
      <x:c r="A9" t="str">
        <x:v>Viewer</x:v>
      </x:c>
      <x:c r="B9" t="str">
        <x:v>Bottom detail window remains hidden</x:v>
      </x:c>
      <x:c r="C9" t="str">
        <x:v>v41.2 behavior</x:v>
      </x:c>
      <x:c r="D9" t="str"/>
      <x:c r="E9" t="str">
        <x:v>Pending</x:v>
      </x:c>
      <x:c r="F9" t="str"/>
      <x:c r="G9" t="str"/>
    </x:row>
    <x:row r="10">
      <x:c r="A10" t="str">
        <x:v>Noise</x:v>
      </x:c>
      <x:c r="B10" t="str">
        <x:v>Noise filter default remains OFF</x:v>
      </x:c>
      <x:c r="C10" t="str">
        <x:v>v41.2 behavior</x:v>
      </x:c>
      <x:c r="D10" t="str"/>
      <x:c r="E10" t="str">
        <x:v>Pending</x:v>
      </x:c>
      <x:c r="F10" t="str"/>
      <x:c r="G10" t="str"/>
    </x:row>
    <x:row r="11">
      <x:c r="A11" t="str">
        <x:v>Project</x:v>
      </x:c>
      <x:c r="B11" t="str">
        <x:v>Export / Import still works</x:v>
      </x:c>
      <x:c r="C11" t="str">
        <x:v>v41.2 behavior</x:v>
      </x:c>
      <x:c r="D11" t="str"/>
      <x:c r="E11" t="str">
        <x:v>Pending</x:v>
      </x:c>
      <x:c r="F11" t="str"/>
      <x:c r="G11" t="str"/>
    </x:row>
    <x:row r="12">
      <x:c r="A12" t="str">
        <x:v>Plugin</x:v>
      </x:c>
      <x:c r="B12" t="str">
        <x:v>Plugin install/update still works</x:v>
      </x:c>
      <x:c r="C12" t="str">
        <x:v>v41.2 behavior</x:v>
      </x:c>
      <x:c r="D12" t="str"/>
      <x:c r="E12" t="str">
        <x:v>Pending</x:v>
      </x:c>
      <x:c r="F12" t="str"/>
      <x:c r="G12" t="str"/>
    </x:row>
  </x:sheetData>
  <x:dataValidations count="1">
    <x:dataValidation type="list" sqref="E2:E12">
      <x:formula1>"Pending,OK,NG,N/A"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40" hidden="0" customWidth="1"/>
    <x:col min="5" max="5" width="40" hidden="0" customWidth="1"/>
    <x:col min="6" max="6" width="16" hidden="0" customWidth="1"/>
    <x:col min="7" max="7" width="16" hidden="0" customWidth="1"/>
    <x:col min="8" max="8" width="40" hidden="0" customWidth="1"/>
  </x:cols>
  <x:sheetData>
    <x:row r="1">
      <x:c r="A1" s="3" t="str">
        <x:v>Bug ID</x:v>
      </x:c>
      <x:c r="B1" s="3" t="str">
        <x:v>Area</x:v>
      </x:c>
      <x:c r="C1" s="3" t="str">
        <x:v>Operation</x:v>
      </x:c>
      <x:c r="D1" s="3" t="str">
        <x:v>Expected</x:v>
      </x:c>
      <x:c r="E1" s="3" t="str">
        <x:v>Actual</x:v>
      </x:c>
      <x:c r="F1" s="3" t="str">
        <x:v>Priority</x:v>
      </x:c>
      <x:c r="G1" s="3" t="str">
        <x:v>Reproducible</x:v>
      </x:c>
      <x:c r="H1" s="3" t="str">
        <x:v>Notes</x:v>
      </x:c>
    </x:row>
  </x:sheetData>
  <x:dataValidations count="2">
    <x:dataValidation type="list" sqref="F2:F200">
      <x:formula1>"P1 Crash,P2 Data,P3 Workflow,P4 UI,P5 Cosmetic"</x:formula1>
    </x:dataValidation>
    <x:dataValidation type="list" sqref="G2:G200">
      <x:formula1>"Always,Sometimes,Once"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4" hidden="0" customWidth="1"/>
    <x:col min="5" max="5" width="16" hidden="0" customWidth="1"/>
    <x:col min="6" max="6" width="40" hidden="0" customWidth="1"/>
  </x:cols>
  <x:sheetData>
    <x:row r="1">
      <x:c r="A1" s="13" t="str">
        <x:v>Commit0008 RC1 Test Dashboard</x:v>
      </x:c>
      <x:c r="B1" s="13"/>
      <x:c r="C1" s="13"/>
      <x:c r="D1" s="13"/>
      <x:c r="E1" s="13"/>
      <x:c r="F1" s="13"/>
    </x:row>
    <x:row r="3">
      <x:c r="A3" s="17" t="str">
        <x:v>Metric</x:v>
      </x:c>
      <x:c r="B3" s="17" t="str">
        <x:v>Value</x:v>
      </x:c>
      <x:c r="D3" s="17" t="str">
        <x:v>Gate</x:v>
      </x:c>
      <x:c r="E3" s="17" t="str">
        <x:v>Status</x:v>
      </x:c>
      <x:c r="F3" s="17" t="str">
        <x:v>Notes</x:v>
      </x:c>
    </x:row>
    <x:row r="4">
      <x:c r="A4" t="str">
        <x:v>Total Checks</x:v>
      </x:c>
      <x:c r="B4" t="n">
        <x:f>COUNTA('Commit0008 Checklist'!C2:C200)</x:f>
        <x:v>30</x:v>
      </x:c>
      <x:c r="D4" t="str">
        <x:v>Startup</x:v>
      </x:c>
      <x:c r="E4" t="str">
        <x:v>Pending</x:v>
      </x:c>
      <x:c r="F4" t="str"/>
    </x:row>
    <x:row r="5">
      <x:c r="A5" t="str">
        <x:v>OK</x:v>
      </x:c>
      <x:c r="B5" t="n">
        <x:f>COUNTIF('Commit0008 Checklist'!F2:F200,"OK")</x:f>
        <x:v>0</x:v>
      </x:c>
      <x:c r="D5" t="str">
        <x:v>Viewer Filters</x:v>
      </x:c>
      <x:c r="E5" t="str">
        <x:v>Pending</x:v>
      </x:c>
      <x:c r="F5" t="str"/>
    </x:row>
    <x:row r="6">
      <x:c r="A6" t="str">
        <x:v>NG</x:v>
      </x:c>
      <x:c r="B6" t="n">
        <x:f>COUNTIF('Commit0008 Checklist'!F2:F200,"NG")</x:f>
        <x:v>0</x:v>
      </x:c>
      <x:c r="D6" t="str">
        <x:v>WS Parser</x:v>
      </x:c>
      <x:c r="E6" t="str">
        <x:v>Pending</x:v>
      </x:c>
      <x:c r="F6" t="str"/>
    </x:row>
    <x:row r="7">
      <x:c r="A7" t="str">
        <x:v>Pending</x:v>
      </x:c>
      <x:c r="B7" t="n">
        <x:f>COUNTIF('Commit0008 Checklist'!F2:F200,"Pending")</x:f>
        <x:v>30</x:v>
      </x:c>
      <x:c r="D7" t="str">
        <x:v>Context Menu</x:v>
      </x:c>
      <x:c r="E7" t="str">
        <x:v>Pending</x:v>
      </x:c>
      <x:c r="F7" t="str"/>
    </x:row>
    <x:row r="8">
      <x:c r="A8" t="str">
        <x:v>Completion</x:v>
      </x:c>
      <x:c r="B8" s="20" t="n">
        <x:f>IF(B4=0,0,(B5+B6)/B4)</x:f>
        <x:v>0</x:v>
      </x:c>
      <x:c r="D8" t="str">
        <x:v>Commit0008 Ready</x:v>
      </x:c>
      <x:c r="E8" t="str">
        <x:v>Pending</x:v>
      </x:c>
      <x:c r="F8" t="str"/>
    </x:row>
  </x:sheetData>
  <x:mergeCells>
    <x:mergeCell ref="A1:F1"/>
  </x:mergeCells>
  <x:dataValidations count="1">
    <x:dataValidation type="list" sqref="E4:E8">
      <x:formula1>"Pending,OK,NG,N/A"</x:formula1>
    </x:dataValidation>
  </x:dataValidations>
  <x:pageMargins left="0.7" right="0.7" top="0.75" bottom="0.75" header="0.3" footer="0.3"/>
</x:worksheet>
</file>